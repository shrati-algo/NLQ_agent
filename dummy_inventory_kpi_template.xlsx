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_KPI_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20" customWidth="1" min="19" max="19"/>
    <col width="24" customWidth="1" min="20" max="20"/>
    <col width="19" customWidth="1" min="21" max="21"/>
    <col width="18" customWidth="1" min="22" max="22"/>
    <col width="23" customWidth="1" min="23" max="23"/>
    <col width="25" customWidth="1" min="24" max="24"/>
    <col width="18" customWidth="1" min="25" max="25"/>
    <col width="23" customWidth="1" min="26" max="26"/>
    <col width="18" customWidth="1" min="27" max="27"/>
    <col width="20" customWidth="1" min="28" max="28"/>
    <col width="20" customWidth="1" min="29" max="29"/>
    <col width="25" customWidth="1" min="30" max="30"/>
  </cols>
  <sheetData>
    <row r="1">
      <c r="A1" s="1" t="inlineStr">
        <is>
          <t>plant</t>
        </is>
      </c>
      <c r="B1" s="1" t="inlineStr">
        <is>
          <t>material</t>
        </is>
      </c>
      <c r="C1" s="1" t="inlineStr">
        <is>
          <t>material_name</t>
        </is>
      </c>
      <c r="D1" s="1" t="inlineStr">
        <is>
          <t>material_type</t>
        </is>
      </c>
      <c r="E1" s="1" t="inlineStr">
        <is>
          <t>uom</t>
        </is>
      </c>
      <c r="F1" s="1" t="inlineStr">
        <is>
          <t>shelf_stock</t>
        </is>
      </c>
      <c r="G1" s="1" t="inlineStr">
        <is>
          <t>shelf_stock_</t>
        </is>
      </c>
      <c r="H1" s="1" t="inlineStr">
        <is>
          <t>git</t>
        </is>
      </c>
      <c r="I1" s="1" t="inlineStr">
        <is>
          <t>git_</t>
        </is>
      </c>
      <c r="J1" s="1" t="inlineStr">
        <is>
          <t>wip</t>
        </is>
      </c>
      <c r="K1" s="1" t="inlineStr">
        <is>
          <t>wip_1</t>
        </is>
      </c>
      <c r="L1" s="1" t="inlineStr">
        <is>
          <t>doh</t>
        </is>
      </c>
      <c r="M1" s="1" t="inlineStr">
        <is>
          <t>safety_stock</t>
        </is>
      </c>
      <c r="N1" s="1" t="inlineStr">
        <is>
          <t>demand</t>
        </is>
      </c>
      <c r="O1" s="1" t="inlineStr">
        <is>
          <t>product_family</t>
        </is>
      </c>
      <c r="P1" s="1" t="inlineStr">
        <is>
          <t>sop_family</t>
        </is>
      </c>
      <c r="Q1" s="1" t="inlineStr">
        <is>
          <t>product_group</t>
        </is>
      </c>
      <c r="R1" s="1" t="inlineStr">
        <is>
          <t>material_group</t>
        </is>
      </c>
      <c r="S1" s="1" t="inlineStr">
        <is>
          <t>product_category</t>
        </is>
      </c>
      <c r="T1" s="1" t="inlineStr">
        <is>
          <t>material_application</t>
        </is>
      </c>
      <c r="U1" s="1" t="inlineStr">
        <is>
          <t>sub_application</t>
        </is>
      </c>
      <c r="V1" s="1" t="inlineStr">
        <is>
          <t>abc</t>
        </is>
      </c>
      <c r="W1" s="1" t="inlineStr">
        <is>
          <t>mrp_controller_text</t>
        </is>
      </c>
      <c r="X1" s="1" t="inlineStr">
        <is>
          <t>purchasing_group_text</t>
        </is>
      </c>
      <c r="Y1" s="1" t="inlineStr">
        <is>
          <t>total_stock</t>
        </is>
      </c>
      <c r="Z1" s="1" t="inlineStr">
        <is>
          <t>stock_gap_vs_safety</t>
        </is>
      </c>
      <c r="AA1" s="1" t="inlineStr">
        <is>
          <t>coverage_ratio</t>
        </is>
      </c>
      <c r="AB1" s="1" t="inlineStr">
        <is>
          <t>inventory_health</t>
        </is>
      </c>
      <c r="AC1" s="1" t="inlineStr">
        <is>
          <t>demand_risk_flag</t>
        </is>
      </c>
      <c r="AD1" s="1" t="inlineStr">
        <is>
          <t>estimated_value_proxy</t>
        </is>
      </c>
    </row>
    <row r="2">
      <c r="A2" t="inlineStr">
        <is>
          <t>2001</t>
        </is>
      </c>
      <c r="B2" t="inlineStr">
        <is>
          <t>363097-000</t>
        </is>
      </c>
      <c r="C2" t="inlineStr">
        <is>
          <t>CXA-0043X-30-0 CS 2759</t>
        </is>
      </c>
      <c r="D2" t="inlineStr">
        <is>
          <t>Raw materials</t>
        </is>
      </c>
      <c r="E2" t="inlineStr">
        <is>
          <t>FT</t>
        </is>
      </c>
      <c r="F2" t="n">
        <v>2008535.21</v>
      </c>
      <c r="G2" t="inlineStr">
        <is>
          <t>$140,571</t>
        </is>
      </c>
      <c r="H2" t="n">
        <v>0</v>
      </c>
      <c r="I2" t="inlineStr">
        <is>
          <t>$0</t>
        </is>
      </c>
      <c r="J2" t="n">
        <v>0</v>
      </c>
      <c r="K2" t="inlineStr">
        <is>
          <t>$0</t>
        </is>
      </c>
      <c r="L2" t="n">
        <v>93</v>
      </c>
      <c r="M2" t="n">
        <v>919905.577</v>
      </c>
      <c r="N2" t="n">
        <v>4809209.374</v>
      </c>
      <c r="O2" t="inlineStr">
        <is>
          <t>Cable</t>
        </is>
      </c>
      <c r="P2" t="inlineStr">
        <is>
          <t>Industrial</t>
        </is>
      </c>
      <c r="Q2" t="inlineStr">
        <is>
          <t>Custom Cable</t>
        </is>
      </c>
      <c r="R2" t="inlineStr">
        <is>
          <t>PD / Project</t>
        </is>
      </c>
      <c r="S2" t="inlineStr">
        <is>
          <t>Raw Material</t>
        </is>
      </c>
      <c r="T2" t="inlineStr">
        <is>
          <t>Sensor</t>
        </is>
      </c>
      <c r="U2" t="inlineStr">
        <is>
          <t>Fiber</t>
        </is>
      </c>
      <c r="V2" t="inlineStr">
        <is>
          <t>B</t>
        </is>
      </c>
      <c r="W2" t="inlineStr">
        <is>
          <t>SENSOR RAW-FIBER</t>
        </is>
      </c>
      <c r="X2" t="inlineStr">
        <is>
          <t>Jay Kim</t>
        </is>
      </c>
      <c r="Y2">
        <f>F2+H2+J2</f>
        <v/>
      </c>
      <c r="Z2">
        <f>Y2-M2</f>
        <v/>
      </c>
      <c r="AA2">
        <f>IF(N2=0,0,Y2/N2)</f>
        <v/>
      </c>
      <c r="AB2">
        <f>IF(Y2&lt;M2,"Below Safety",IF(AA2&lt;1,"Tight","Healthy"))</f>
        <v/>
      </c>
      <c r="AC2">
        <f>IF(AND(N2&gt;0,Y2&lt;N2),"High","Normal")</f>
        <v/>
      </c>
      <c r="AD2">
        <f>F2+H2+J2</f>
        <v/>
      </c>
    </row>
    <row r="3">
      <c r="A3" t="inlineStr">
        <is>
          <t>2001</t>
        </is>
      </c>
      <c r="B3" t="inlineStr">
        <is>
          <t>SFP-1001</t>
        </is>
      </c>
      <c r="C3" t="inlineStr">
        <is>
          <t>ETFE Core Sheet</t>
        </is>
      </c>
      <c r="D3" t="inlineStr">
        <is>
          <t>Semifinished products</t>
        </is>
      </c>
      <c r="E3" t="inlineStr">
        <is>
          <t>KG</t>
        </is>
      </c>
      <c r="F3" t="n">
        <v>1500</v>
      </c>
      <c r="G3" t="inlineStr">
        <is>
          <t>$45,000</t>
        </is>
      </c>
      <c r="H3" t="n">
        <v>200</v>
      </c>
      <c r="I3" t="inlineStr">
        <is>
          <t>$6,000</t>
        </is>
      </c>
      <c r="J3" t="n">
        <v>120</v>
      </c>
      <c r="K3" t="inlineStr">
        <is>
          <t>$3,600</t>
        </is>
      </c>
      <c r="L3" t="n">
        <v>18</v>
      </c>
      <c r="M3" t="n">
        <v>1300</v>
      </c>
      <c r="N3" t="n">
        <v>700</v>
      </c>
      <c r="O3" t="inlineStr">
        <is>
          <t>Films</t>
        </is>
      </c>
      <c r="P3" t="inlineStr">
        <is>
          <t>Industrial</t>
        </is>
      </c>
      <c r="Q3" t="inlineStr">
        <is>
          <t>Intermediate Film</t>
        </is>
      </c>
      <c r="R3" t="inlineStr">
        <is>
          <t>ETFE</t>
        </is>
      </c>
      <c r="S3" t="inlineStr">
        <is>
          <t>Semi Finished Product</t>
        </is>
      </c>
      <c r="T3" t="inlineStr">
        <is>
          <t>Packaging</t>
        </is>
      </c>
      <c r="U3" t="inlineStr">
        <is>
          <t>Barrier</t>
        </is>
      </c>
      <c r="V3" t="inlineStr">
        <is>
          <t>A</t>
        </is>
      </c>
      <c r="W3" t="inlineStr">
        <is>
          <t>POLYMER TEAM</t>
        </is>
      </c>
      <c r="X3" t="inlineStr">
        <is>
          <t>Nisha Rao</t>
        </is>
      </c>
      <c r="Y3">
        <f>F3+H3+J3</f>
        <v/>
      </c>
      <c r="Z3">
        <f>Y3-M3</f>
        <v/>
      </c>
      <c r="AA3">
        <f>IF(N3=0,0,Y3/N3)</f>
        <v/>
      </c>
      <c r="AB3">
        <f>IF(Y3&lt;M3,"Below Safety",IF(AA3&lt;1,"Tight","Healthy"))</f>
        <v/>
      </c>
      <c r="AC3">
        <f>IF(AND(N3&gt;0,Y3&lt;N3),"High","Normal")</f>
        <v/>
      </c>
      <c r="AD3">
        <f>F3+H3+J3</f>
        <v/>
      </c>
    </row>
    <row r="4">
      <c r="A4" t="inlineStr">
        <is>
          <t>2001</t>
        </is>
      </c>
      <c r="B4" t="inlineStr">
        <is>
          <t>SFP-1002</t>
        </is>
      </c>
      <c r="C4" t="inlineStr">
        <is>
          <t>Laminated Intermediate Roll</t>
        </is>
      </c>
      <c r="D4" t="inlineStr">
        <is>
          <t>Semifinished products</t>
        </is>
      </c>
      <c r="E4" t="inlineStr">
        <is>
          <t>KG</t>
        </is>
      </c>
      <c r="F4" t="n">
        <v>950</v>
      </c>
      <c r="G4" t="inlineStr">
        <is>
          <t>$28,500</t>
        </is>
      </c>
      <c r="H4" t="n">
        <v>80</v>
      </c>
      <c r="I4" t="inlineStr">
        <is>
          <t>$2,400</t>
        </is>
      </c>
      <c r="J4" t="n">
        <v>40</v>
      </c>
      <c r="K4" t="inlineStr">
        <is>
          <t>$1,200</t>
        </is>
      </c>
      <c r="L4" t="n">
        <v>14</v>
      </c>
      <c r="M4" t="n">
        <v>1100</v>
      </c>
      <c r="N4" t="n">
        <v>500</v>
      </c>
      <c r="O4" t="inlineStr">
        <is>
          <t>Films</t>
        </is>
      </c>
      <c r="P4" t="inlineStr">
        <is>
          <t>Industrial</t>
        </is>
      </c>
      <c r="Q4" t="inlineStr">
        <is>
          <t>Intermediate Film</t>
        </is>
      </c>
      <c r="R4" t="inlineStr">
        <is>
          <t>Laminates</t>
        </is>
      </c>
      <c r="S4" t="inlineStr">
        <is>
          <t>Semi Finished Product</t>
        </is>
      </c>
      <c r="T4" t="inlineStr">
        <is>
          <t>Packaging</t>
        </is>
      </c>
      <c r="U4" t="inlineStr">
        <is>
          <t>Protective</t>
        </is>
      </c>
      <c r="V4" t="inlineStr">
        <is>
          <t>A</t>
        </is>
      </c>
      <c r="W4" t="inlineStr">
        <is>
          <t>LAMINATION TEAM</t>
        </is>
      </c>
      <c r="X4" t="inlineStr">
        <is>
          <t>Nisha Rao</t>
        </is>
      </c>
      <c r="Y4">
        <f>F4+H4+J4</f>
        <v/>
      </c>
      <c r="Z4">
        <f>Y4-M4</f>
        <v/>
      </c>
      <c r="AA4">
        <f>IF(N4=0,0,Y4/N4)</f>
        <v/>
      </c>
      <c r="AB4">
        <f>IF(Y4&lt;M4,"Below Safety",IF(AA4&lt;1,"Tight","Healthy"))</f>
        <v/>
      </c>
      <c r="AC4">
        <f>IF(AND(N4&gt;0,Y4&lt;N4),"High","Normal")</f>
        <v/>
      </c>
      <c r="AD4">
        <f>F4+H4+J4</f>
        <v/>
      </c>
    </row>
    <row r="5">
      <c r="A5" t="inlineStr">
        <is>
          <t>2001</t>
        </is>
      </c>
      <c r="B5" t="inlineStr">
        <is>
          <t>FP-2201</t>
        </is>
      </c>
      <c r="C5" t="inlineStr">
        <is>
          <t>Finished Sensor Harness</t>
        </is>
      </c>
      <c r="D5" t="inlineStr">
        <is>
          <t>Finished products</t>
        </is>
      </c>
      <c r="E5" t="inlineStr">
        <is>
          <t>EA</t>
        </is>
      </c>
      <c r="F5" t="n">
        <v>420</v>
      </c>
      <c r="G5" t="inlineStr">
        <is>
          <t>$84,000</t>
        </is>
      </c>
      <c r="H5" t="n">
        <v>50</v>
      </c>
      <c r="I5" t="inlineStr">
        <is>
          <t>$10,000</t>
        </is>
      </c>
      <c r="J5" t="n">
        <v>25</v>
      </c>
      <c r="K5" t="inlineStr">
        <is>
          <t>$5,000</t>
        </is>
      </c>
      <c r="L5" t="n">
        <v>21</v>
      </c>
      <c r="M5" t="n">
        <v>300</v>
      </c>
      <c r="N5" t="n">
        <v>160</v>
      </c>
      <c r="O5" t="inlineStr">
        <is>
          <t>Harness</t>
        </is>
      </c>
      <c r="P5" t="inlineStr">
        <is>
          <t>Automotive</t>
        </is>
      </c>
      <c r="Q5" t="inlineStr">
        <is>
          <t>Sensor Harness</t>
        </is>
      </c>
      <c r="R5" t="inlineStr">
        <is>
          <t>Electrical</t>
        </is>
      </c>
      <c r="S5" t="inlineStr">
        <is>
          <t>Finished Product</t>
        </is>
      </c>
      <c r="T5" t="inlineStr">
        <is>
          <t>Automotive</t>
        </is>
      </c>
      <c r="U5" t="inlineStr">
        <is>
          <t>Safety</t>
        </is>
      </c>
      <c r="V5" t="inlineStr">
        <is>
          <t>A</t>
        </is>
      </c>
      <c r="W5" t="inlineStr">
        <is>
          <t>HARNESS CONTROL</t>
        </is>
      </c>
      <c r="X5" t="inlineStr">
        <is>
          <t>Arjun Patel</t>
        </is>
      </c>
      <c r="Y5">
        <f>F5+H5+J5</f>
        <v/>
      </c>
      <c r="Z5">
        <f>Y5-M5</f>
        <v/>
      </c>
      <c r="AA5">
        <f>IF(N5=0,0,Y5/N5)</f>
        <v/>
      </c>
      <c r="AB5">
        <f>IF(Y5&lt;M5,"Below Safety",IF(AA5&lt;1,"Tight","Healthy"))</f>
        <v/>
      </c>
      <c r="AC5">
        <f>IF(AND(N5&gt;0,Y5&lt;N5),"High","Normal")</f>
        <v/>
      </c>
      <c r="AD5">
        <f>F5+H5+J5</f>
        <v/>
      </c>
    </row>
    <row r="6">
      <c r="A6" t="inlineStr">
        <is>
          <t>2001</t>
        </is>
      </c>
      <c r="B6" t="inlineStr">
        <is>
          <t>RM-9981</t>
        </is>
      </c>
      <c r="C6" t="inlineStr">
        <is>
          <t>PTFE Resin Mix</t>
        </is>
      </c>
      <c r="D6" t="inlineStr">
        <is>
          <t>Raw materials</t>
        </is>
      </c>
      <c r="E6" t="inlineStr">
        <is>
          <t>KG</t>
        </is>
      </c>
      <c r="F6" t="n">
        <v>3000</v>
      </c>
      <c r="G6" t="inlineStr">
        <is>
          <t>$120,000</t>
        </is>
      </c>
      <c r="H6" t="n">
        <v>500</v>
      </c>
      <c r="I6" t="inlineStr">
        <is>
          <t>$20,000</t>
        </is>
      </c>
      <c r="J6" t="n">
        <v>0</v>
      </c>
      <c r="K6" t="inlineStr">
        <is>
          <t>$0</t>
        </is>
      </c>
      <c r="L6" t="n">
        <v>35</v>
      </c>
      <c r="M6" t="n">
        <v>1800</v>
      </c>
      <c r="N6" t="n">
        <v>950</v>
      </c>
      <c r="O6" t="inlineStr">
        <is>
          <t>Resin</t>
        </is>
      </c>
      <c r="P6" t="inlineStr">
        <is>
          <t>Industrial</t>
        </is>
      </c>
      <c r="Q6" t="inlineStr">
        <is>
          <t>Polymer</t>
        </is>
      </c>
      <c r="R6" t="inlineStr">
        <is>
          <t>Chemicals</t>
        </is>
      </c>
      <c r="S6" t="inlineStr">
        <is>
          <t>Raw Material</t>
        </is>
      </c>
      <c r="T6" t="inlineStr">
        <is>
          <t>Industrial</t>
        </is>
      </c>
      <c r="U6" t="inlineStr">
        <is>
          <t>Fluoropolymer</t>
        </is>
      </c>
      <c r="V6" t="inlineStr">
        <is>
          <t>B</t>
        </is>
      </c>
      <c r="W6" t="inlineStr">
        <is>
          <t>CHEMICAL BUYER</t>
        </is>
      </c>
      <c r="X6" t="inlineStr">
        <is>
          <t>Mina Shah</t>
        </is>
      </c>
      <c r="Y6">
        <f>F6+H6+J6</f>
        <v/>
      </c>
      <c r="Z6">
        <f>Y6-M6</f>
        <v/>
      </c>
      <c r="AA6">
        <f>IF(N6=0,0,Y6/N6)</f>
        <v/>
      </c>
      <c r="AB6">
        <f>IF(Y6&lt;M6,"Below Safety",IF(AA6&lt;1,"Tight","Healthy"))</f>
        <v/>
      </c>
      <c r="AC6">
        <f>IF(AND(N6&gt;0,Y6&lt;N6),"High","Normal")</f>
        <v/>
      </c>
      <c r="AD6">
        <f>F6+H6+J6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2026-04-06T08:50:25Z</dcterms:created>
  <dcterms:modified xsi:type="dcterms:W3CDTF">2026-04-06T08:50:25Z</dcterms:modified>
</cp:coreProperties>
</file>